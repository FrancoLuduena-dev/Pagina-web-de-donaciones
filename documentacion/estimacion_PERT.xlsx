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rcelo\tecnicatura\programacion3\"/>
    </mc:Choice>
  </mc:AlternateContent>
  <bookViews>
    <workbookView xWindow="0" yWindow="0" windowWidth="20400" windowHeight="7530" activeTab="2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F4" i="3"/>
  <c r="G4" i="3"/>
  <c r="H4" i="3"/>
  <c r="I4" i="3"/>
  <c r="E5" i="3"/>
  <c r="F5" i="3"/>
  <c r="H5" i="3"/>
  <c r="E7" i="3"/>
  <c r="F7" i="3"/>
  <c r="H8" i="3" s="1"/>
  <c r="G7" i="3"/>
  <c r="H7" i="3"/>
  <c r="I7" i="3"/>
  <c r="E8" i="3"/>
  <c r="I9" i="3" s="1"/>
  <c r="F8" i="3"/>
  <c r="I8" i="3"/>
  <c r="E9" i="3"/>
  <c r="F9" i="3"/>
  <c r="E11" i="3"/>
  <c r="G12" i="3" s="1"/>
  <c r="F11" i="3"/>
  <c r="H12" i="3" s="1"/>
  <c r="G11" i="3"/>
  <c r="H11" i="3"/>
  <c r="I11" i="3"/>
  <c r="E12" i="3"/>
  <c r="F12" i="3"/>
  <c r="E16" i="3"/>
  <c r="F16" i="3"/>
  <c r="G16" i="3"/>
  <c r="H16" i="3"/>
  <c r="I16" i="3"/>
  <c r="E17" i="3"/>
  <c r="G19" i="3" s="1"/>
  <c r="F17" i="3"/>
  <c r="G17" i="3"/>
  <c r="H17" i="3"/>
  <c r="I17" i="3"/>
  <c r="E18" i="3"/>
  <c r="F18" i="3"/>
  <c r="E19" i="3"/>
  <c r="G23" i="3" s="1"/>
  <c r="F19" i="3"/>
  <c r="H23" i="3" s="1"/>
  <c r="E20" i="3"/>
  <c r="F20" i="3"/>
  <c r="E23" i="3"/>
  <c r="H28" i="3" s="1"/>
  <c r="F23" i="3"/>
  <c r="I28" i="3" s="1"/>
  <c r="E24" i="3"/>
  <c r="G29" i="3" s="1"/>
  <c r="F24" i="3"/>
  <c r="I29" i="3" s="1"/>
  <c r="E25" i="3"/>
  <c r="F25" i="3"/>
  <c r="G25" i="3"/>
  <c r="H25" i="3"/>
  <c r="I25" i="3"/>
  <c r="E28" i="3"/>
  <c r="F28" i="3"/>
  <c r="I34" i="3" s="1"/>
  <c r="E29" i="3"/>
  <c r="G35" i="3" s="1"/>
  <c r="F29" i="3"/>
  <c r="E30" i="3"/>
  <c r="F30" i="3"/>
  <c r="G30" i="3"/>
  <c r="H30" i="3"/>
  <c r="E33" i="3"/>
  <c r="F33" i="3"/>
  <c r="G33" i="3"/>
  <c r="H33" i="3"/>
  <c r="I33" i="3"/>
  <c r="E34" i="3"/>
  <c r="F34" i="3"/>
  <c r="E35" i="3"/>
  <c r="F35" i="3"/>
  <c r="E2" i="2"/>
  <c r="G2" i="2" s="1"/>
  <c r="F2" i="2"/>
  <c r="E3" i="2"/>
  <c r="H3" i="2" s="1"/>
  <c r="F3" i="2"/>
  <c r="E4" i="2"/>
  <c r="H4" i="2" s="1"/>
  <c r="F4" i="2"/>
  <c r="E5" i="2"/>
  <c r="G5" i="2" s="1"/>
  <c r="F5" i="2"/>
  <c r="E6" i="2"/>
  <c r="I6" i="2" s="1"/>
  <c r="F6" i="2"/>
  <c r="E7" i="2"/>
  <c r="F7" i="2"/>
  <c r="G7" i="2"/>
  <c r="H7" i="2"/>
  <c r="I7" i="2"/>
  <c r="E8" i="2"/>
  <c r="G8" i="2" s="1"/>
  <c r="F8" i="2"/>
  <c r="G24" i="3" l="1"/>
  <c r="I18" i="3"/>
  <c r="H29" i="3"/>
  <c r="G34" i="3"/>
  <c r="I23" i="3"/>
  <c r="I30" i="3"/>
  <c r="G9" i="3"/>
  <c r="G28" i="3"/>
  <c r="I35" i="3"/>
  <c r="H18" i="3"/>
  <c r="G20" i="3"/>
  <c r="I12" i="3"/>
  <c r="G18" i="3"/>
  <c r="G8" i="3"/>
  <c r="I5" i="3"/>
  <c r="H35" i="3"/>
  <c r="H9" i="3"/>
  <c r="G5" i="3"/>
  <c r="I19" i="3"/>
  <c r="I24" i="3"/>
  <c r="H19" i="3"/>
  <c r="H24" i="3"/>
  <c r="I20" i="3"/>
  <c r="H34" i="3"/>
  <c r="H20" i="3"/>
  <c r="G3" i="2"/>
  <c r="G4" i="2"/>
  <c r="I2" i="2"/>
  <c r="H2" i="2"/>
  <c r="H6" i="2"/>
  <c r="G6" i="2"/>
  <c r="I4" i="2"/>
  <c r="E9" i="2"/>
  <c r="I5" i="2"/>
  <c r="I8" i="2"/>
  <c r="H5" i="2"/>
  <c r="H8" i="2"/>
  <c r="I3" i="2"/>
</calcChain>
</file>

<file path=xl/sharedStrings.xml><?xml version="1.0" encoding="utf-8"?>
<sst xmlns="http://schemas.openxmlformats.org/spreadsheetml/2006/main" count="110" uniqueCount="86">
  <si>
    <t>Parte del Proyecto</t>
  </si>
  <si>
    <t>O (h)</t>
  </si>
  <si>
    <t>M (h)</t>
  </si>
  <si>
    <t>P (h)</t>
  </si>
  <si>
    <t>te (Media h)</t>
  </si>
  <si>
    <t>σ</t>
  </si>
  <si>
    <t>68% Intervalo</t>
  </si>
  <si>
    <t>95% Intervalo</t>
  </si>
  <si>
    <t>99% Intervalo</t>
  </si>
  <si>
    <t>Análisis de Requisitos</t>
  </si>
  <si>
    <t>25.83</t>
  </si>
  <si>
    <t>4.17</t>
  </si>
  <si>
    <t>21.66 - 30.00</t>
  </si>
  <si>
    <t>17.49 - 34.17</t>
  </si>
  <si>
    <t>13.32 - 38.34</t>
  </si>
  <si>
    <t>Diseño del Sistema</t>
  </si>
  <si>
    <t>36.67</t>
  </si>
  <si>
    <t>6.67</t>
  </si>
  <si>
    <t>30.00 - 43.34</t>
  </si>
  <si>
    <t>23.33 - 50.01</t>
  </si>
  <si>
    <t>16.66 - 56.68</t>
  </si>
  <si>
    <t>Desarrollo Backend</t>
  </si>
  <si>
    <t>95.00</t>
  </si>
  <si>
    <t>15.00</t>
  </si>
  <si>
    <t>80.00 - 110.00</t>
  </si>
  <si>
    <t>65.00 - 125.00</t>
  </si>
  <si>
    <t>50.00 - 140.00</t>
  </si>
  <si>
    <t>Desarrollo Frontend</t>
  </si>
  <si>
    <t>93.33</t>
  </si>
  <si>
    <t>13.33</t>
  </si>
  <si>
    <t>80.00 - 106.66</t>
  </si>
  <si>
    <t>66.67 - 120.00</t>
  </si>
  <si>
    <t>53.34 - 133.33</t>
  </si>
  <si>
    <t>Base de Datos</t>
  </si>
  <si>
    <t>31.67</t>
  </si>
  <si>
    <t>5.00</t>
  </si>
  <si>
    <t>26.67 - 36.67</t>
  </si>
  <si>
    <t>21.67 - 41.67</t>
  </si>
  <si>
    <t>16.67 - 46.67</t>
  </si>
  <si>
    <t>Pruebas</t>
  </si>
  <si>
    <t>51.67</t>
  </si>
  <si>
    <t>8.33</t>
  </si>
  <si>
    <t>43.34 - 60.00</t>
  </si>
  <si>
    <t>35.01 - 68.33</t>
  </si>
  <si>
    <t>26.68 - 76.66</t>
  </si>
  <si>
    <t>Despliegue y Documentación</t>
  </si>
  <si>
    <t>27.50</t>
  </si>
  <si>
    <t>5.83</t>
  </si>
  <si>
    <t>21.67 - 33.33</t>
  </si>
  <si>
    <t>15.84 - 39.16</t>
  </si>
  <si>
    <t>10.01 - 44.99</t>
  </si>
  <si>
    <t>TOTAL</t>
  </si>
  <si>
    <t>361.67</t>
  </si>
  <si>
    <t>O (Optimista)</t>
  </si>
  <si>
    <t>M (Más Probable)</t>
  </si>
  <si>
    <t>P (Pesimista)</t>
  </si>
  <si>
    <t>te (Media)</t>
  </si>
  <si>
    <t>σ (Desviación Estándar)</t>
  </si>
  <si>
    <t xml:space="preserve"> </t>
  </si>
  <si>
    <t>Desarrollo</t>
  </si>
  <si>
    <t>Despliegue y Mantenimiento</t>
  </si>
  <si>
    <t xml:space="preserve">    Definición de Roles y Funcionalidades</t>
  </si>
  <si>
    <t xml:space="preserve">        Usuario (funcionalidades)</t>
  </si>
  <si>
    <t xml:space="preserve">    Estados de Donaciones y Solicitudes</t>
  </si>
  <si>
    <t xml:space="preserve">        Moderador (funcionalidades)</t>
  </si>
  <si>
    <t xml:space="preserve">        Estados de Donaciones</t>
  </si>
  <si>
    <t xml:space="preserve">        Estados de Solicitudes</t>
  </si>
  <si>
    <t xml:space="preserve">    Búsqueda y Filtros</t>
  </si>
  <si>
    <t xml:space="preserve">    Reportes y Logs</t>
  </si>
  <si>
    <t xml:space="preserve">        Reportes</t>
  </si>
  <si>
    <t xml:space="preserve">        Logs</t>
  </si>
  <si>
    <t xml:space="preserve">    Arquitectura General</t>
  </si>
  <si>
    <t xml:space="preserve">        Backend (API REST)</t>
  </si>
  <si>
    <t xml:space="preserve">        Frontend (Web App)</t>
  </si>
  <si>
    <t xml:space="preserve">        Base de Datos (diseño)</t>
  </si>
  <si>
    <t xml:space="preserve">    Diseño de Base de Datos</t>
  </si>
  <si>
    <t xml:space="preserve">    Diseño de Interfaz de Usuario</t>
  </si>
  <si>
    <t xml:space="preserve">    Desarrollo Backend</t>
  </si>
  <si>
    <t xml:space="preserve">    Desarrollo Frontend</t>
  </si>
  <si>
    <t xml:space="preserve">    Desarrollo Base de Datos</t>
  </si>
  <si>
    <t xml:space="preserve">    Pruebas Unitarias</t>
  </si>
  <si>
    <t xml:space="preserve">    Pruebas de Integración</t>
  </si>
  <si>
    <t xml:space="preserve">    Pruebas de Aceptación</t>
  </si>
  <si>
    <t xml:space="preserve">    Configuración del Entorno</t>
  </si>
  <si>
    <t xml:space="preserve">    Despliegue de la Aplicación</t>
  </si>
  <si>
    <t xml:space="preserve">    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</si>
</sst>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F12" sqref="F12"/>
    </sheetView>
  </sheetViews>
  <sheetFormatPr baseColWidth="10" defaultRowHeight="15" x14ac:dyDescent="0.25"/>
  <cols>
    <col min="1" max="1" width="27.140625" bestFit="1" customWidth="1"/>
    <col min="7" max="9" width="1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15</v>
      </c>
      <c r="C2">
        <v>25</v>
      </c>
      <c r="D2">
        <v>40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>
        <v>20</v>
      </c>
      <c r="C3">
        <v>35</v>
      </c>
      <c r="D3">
        <v>60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 t="s">
        <v>21</v>
      </c>
      <c r="B4">
        <v>60</v>
      </c>
      <c r="C4">
        <v>90</v>
      </c>
      <c r="D4">
        <v>150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>
        <v>60</v>
      </c>
      <c r="C5">
        <v>90</v>
      </c>
      <c r="D5">
        <v>140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 spans="1:9" x14ac:dyDescent="0.25">
      <c r="A6" t="s">
        <v>33</v>
      </c>
      <c r="B6">
        <v>20</v>
      </c>
      <c r="C6">
        <v>30</v>
      </c>
      <c r="D6">
        <v>50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 spans="1:9" x14ac:dyDescent="0.25">
      <c r="A7" t="s">
        <v>39</v>
      </c>
      <c r="B7">
        <v>30</v>
      </c>
      <c r="C7">
        <v>50</v>
      </c>
      <c r="D7">
        <v>80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 spans="1:9" x14ac:dyDescent="0.25">
      <c r="A8" t="s">
        <v>45</v>
      </c>
      <c r="B8">
        <v>15</v>
      </c>
      <c r="C8">
        <v>25</v>
      </c>
      <c r="D8">
        <v>50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</row>
    <row r="9" spans="1:9" x14ac:dyDescent="0.25">
      <c r="A9" t="s">
        <v>51</v>
      </c>
      <c r="E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G13" sqref="G13"/>
    </sheetView>
  </sheetViews>
  <sheetFormatPr baseColWidth="10" defaultRowHeight="15" x14ac:dyDescent="0.25"/>
  <cols>
    <col min="1" max="1" width="27.140625" bestFit="1" customWidth="1"/>
    <col min="2" max="2" width="13" bestFit="1" customWidth="1"/>
    <col min="3" max="3" width="16.7109375" bestFit="1" customWidth="1"/>
    <col min="4" max="4" width="12.5703125" bestFit="1" customWidth="1"/>
    <col min="5" max="5" width="12" style="1" bestFit="1" customWidth="1"/>
    <col min="6" max="6" width="21.85546875" style="1" bestFit="1" customWidth="1"/>
    <col min="7" max="9" width="13" style="1" bestFit="1" customWidth="1"/>
  </cols>
  <sheetData>
    <row r="1" spans="1:10" x14ac:dyDescent="0.25">
      <c r="A1" t="s">
        <v>0</v>
      </c>
      <c r="B1" t="s">
        <v>53</v>
      </c>
      <c r="C1" t="s">
        <v>54</v>
      </c>
      <c r="D1" t="s">
        <v>55</v>
      </c>
      <c r="E1" s="1" t="s">
        <v>56</v>
      </c>
      <c r="F1" s="1" t="s">
        <v>57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>
        <v>15</v>
      </c>
      <c r="C2">
        <v>25</v>
      </c>
      <c r="D2">
        <v>40</v>
      </c>
      <c r="E2" s="1">
        <f>ROUND((B2+4*C2+D2)/6,2)</f>
        <v>25.83</v>
      </c>
      <c r="F2" s="1">
        <f>ROUND((D2-B2)/6,2)</f>
        <v>4.17</v>
      </c>
      <c r="G2" s="1" t="str">
        <f>ROUND(E2-F2,2)&amp;" - "&amp;ROUND(E2+F2,2)</f>
        <v>21,66 - 30</v>
      </c>
      <c r="H2" s="1" t="str">
        <f>ROUND(E2-2*F2,2)&amp;" - "&amp;ROUND(E2+2*F2,2)</f>
        <v>17,49 - 34,17</v>
      </c>
      <c r="I2" s="1" t="str">
        <f>ROUND(E2-3*F2,2)&amp;" - "&amp;ROUND(E2+3*F2,2)</f>
        <v>13,32 - 38,34</v>
      </c>
    </row>
    <row r="3" spans="1:10" x14ac:dyDescent="0.25">
      <c r="A3" t="s">
        <v>15</v>
      </c>
      <c r="B3">
        <v>20</v>
      </c>
      <c r="C3">
        <v>35</v>
      </c>
      <c r="D3">
        <v>60</v>
      </c>
      <c r="E3" s="1">
        <f>ROUND((B3+4*C3+D3)/6,2)</f>
        <v>36.67</v>
      </c>
      <c r="F3" s="1">
        <f>ROUND((D3-B3)/6,2)</f>
        <v>6.67</v>
      </c>
      <c r="G3" s="1" t="str">
        <f>ROUND(E3-F3,2)&amp;" - "&amp;ROUND(E3+F3,2)</f>
        <v>30 - 43,34</v>
      </c>
      <c r="H3" s="1" t="str">
        <f>ROUND(E3-2*F3,2)&amp;" - "&amp;ROUND(E3+2*F3,2)</f>
        <v>23,33 - 50,01</v>
      </c>
      <c r="I3" s="1" t="str">
        <f>ROUND(E3-3*F3,2)&amp;" - "&amp;ROUND(E3+3*F3,2)</f>
        <v>16,66 - 56,68</v>
      </c>
    </row>
    <row r="4" spans="1:10" x14ac:dyDescent="0.25">
      <c r="A4" t="s">
        <v>21</v>
      </c>
      <c r="B4">
        <v>60</v>
      </c>
      <c r="C4">
        <v>90</v>
      </c>
      <c r="D4">
        <v>150</v>
      </c>
      <c r="E4" s="1">
        <f>ROUND((B4+4*C4+D4)/6,2)</f>
        <v>95</v>
      </c>
      <c r="F4" s="1">
        <f>ROUND((D4-B4)/6,2)</f>
        <v>15</v>
      </c>
      <c r="G4" s="1" t="str">
        <f>ROUND(E4-F4,2)&amp;" - "&amp;ROUND(E4+F4,2)</f>
        <v>80 - 110</v>
      </c>
      <c r="H4" s="1" t="str">
        <f>ROUND(E4-2*F4,2)&amp;" - "&amp;ROUND(E4+2*F4,2)</f>
        <v>65 - 125</v>
      </c>
      <c r="I4" s="1" t="str">
        <f>ROUND(E4-3*F4,2)&amp;" - "&amp;ROUND(E4+3*F4,2)</f>
        <v>50 - 140</v>
      </c>
    </row>
    <row r="5" spans="1:10" x14ac:dyDescent="0.25">
      <c r="A5" t="s">
        <v>27</v>
      </c>
      <c r="B5">
        <v>60</v>
      </c>
      <c r="C5">
        <v>90</v>
      </c>
      <c r="D5">
        <v>140</v>
      </c>
      <c r="E5" s="1">
        <f>ROUND((B5+4*C5+D5)/6,2)</f>
        <v>93.33</v>
      </c>
      <c r="F5" s="1">
        <f>ROUND((D5-B5)/6,2)</f>
        <v>13.33</v>
      </c>
      <c r="G5" s="1" t="str">
        <f>ROUND(E5-F5,2)&amp;" - "&amp;ROUND(E5+F5,2)</f>
        <v>80 - 106,66</v>
      </c>
      <c r="H5" s="1" t="str">
        <f>ROUND(E5-2*F5,2)&amp;" - "&amp;ROUND(E5+2*F5,2)</f>
        <v>66,67 - 119,99</v>
      </c>
      <c r="I5" s="1" t="str">
        <f>ROUND(E5-3*F5,2)&amp;" - "&amp;ROUND(E5+3*F5,2)</f>
        <v>53,34 - 133,32</v>
      </c>
    </row>
    <row r="6" spans="1:10" x14ac:dyDescent="0.25">
      <c r="A6" t="s">
        <v>33</v>
      </c>
      <c r="B6">
        <v>20</v>
      </c>
      <c r="C6">
        <v>30</v>
      </c>
      <c r="D6">
        <v>50</v>
      </c>
      <c r="E6" s="1">
        <f>ROUND((B6+4*C6+D6)/6,2)</f>
        <v>31.67</v>
      </c>
      <c r="F6" s="1">
        <f>ROUND((D6-B6)/6,2)</f>
        <v>5</v>
      </c>
      <c r="G6" s="1" t="str">
        <f>ROUND(E6-F6,2)&amp;" - "&amp;ROUND(E6+F6,2)</f>
        <v>26,67 - 36,67</v>
      </c>
      <c r="H6" s="1" t="str">
        <f>ROUND(E6-2*F6,2)&amp;" - "&amp;ROUND(E6+2*F6,2)</f>
        <v>21,67 - 41,67</v>
      </c>
      <c r="I6" s="1" t="str">
        <f>ROUND(E6-3*F6,2)&amp;" - "&amp;ROUND(E6+3*F6,2)</f>
        <v>16,67 - 46,67</v>
      </c>
    </row>
    <row r="7" spans="1:10" x14ac:dyDescent="0.25">
      <c r="A7" t="s">
        <v>39</v>
      </c>
      <c r="B7">
        <v>30</v>
      </c>
      <c r="C7">
        <v>50</v>
      </c>
      <c r="D7">
        <v>80</v>
      </c>
      <c r="E7" s="1">
        <f>ROUND((B7+4*C7+D7)/6,2)</f>
        <v>51.67</v>
      </c>
      <c r="F7" s="1">
        <f>ROUND((D7-B7)/6,2)</f>
        <v>8.33</v>
      </c>
      <c r="G7" s="1" t="str">
        <f>ROUND(E7-F7,2)&amp;" - "&amp;ROUND(E7+F7,2)</f>
        <v>43,34 - 60</v>
      </c>
      <c r="H7" s="1" t="str">
        <f>ROUND(E7-2*F7,2)&amp;" - "&amp;ROUND(E7+2*F7,2)</f>
        <v>35,01 - 68,33</v>
      </c>
      <c r="I7" s="1" t="str">
        <f>ROUND(E7-3*F7,2)&amp;" - "&amp;ROUND(E7+3*F7,2)</f>
        <v>26,68 - 76,66</v>
      </c>
    </row>
    <row r="8" spans="1:10" x14ac:dyDescent="0.25">
      <c r="A8" t="s">
        <v>45</v>
      </c>
      <c r="B8">
        <v>15</v>
      </c>
      <c r="C8">
        <v>25</v>
      </c>
      <c r="D8">
        <v>50</v>
      </c>
      <c r="E8" s="1">
        <f>ROUND((B8+4*C8+D8)/6,2)</f>
        <v>27.5</v>
      </c>
      <c r="F8" s="1">
        <f>ROUND((D8-B8)/6,2)</f>
        <v>5.83</v>
      </c>
      <c r="G8" s="1" t="str">
        <f>ROUND(E8-F8,2)&amp;" - "&amp;ROUND(E8+F8,2)</f>
        <v>21,67 - 33,33</v>
      </c>
      <c r="H8" s="1" t="str">
        <f>ROUND(E8-2*F8,2)&amp;" - "&amp;ROUND(E8+2*F8,2)</f>
        <v>15,84 - 39,16</v>
      </c>
      <c r="I8" s="1" t="str">
        <f>ROUND(E8-3*F8,2)&amp;" - "&amp;ROUND(E8+3*F8,2)</f>
        <v>10,01 - 44,99</v>
      </c>
    </row>
    <row r="9" spans="1:10" x14ac:dyDescent="0.25">
      <c r="A9" t="s">
        <v>51</v>
      </c>
      <c r="E9" s="1">
        <f>ROUND(SUM(E2:E8),2)</f>
        <v>361.67</v>
      </c>
      <c r="J9" t="s">
        <v>58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F3" sqref="F3"/>
    </sheetView>
  </sheetViews>
  <sheetFormatPr baseColWidth="10" defaultRowHeight="15" x14ac:dyDescent="0.25"/>
  <cols>
    <col min="1" max="1" width="35" bestFit="1" customWidth="1"/>
    <col min="2" max="2" width="13" bestFit="1" customWidth="1"/>
    <col min="3" max="3" width="16.7109375" bestFit="1" customWidth="1"/>
    <col min="4" max="4" width="12.5703125" bestFit="1" customWidth="1"/>
    <col min="6" max="6" width="10.42578125" customWidth="1"/>
  </cols>
  <sheetData>
    <row r="1" spans="1:9" x14ac:dyDescent="0.2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</row>
    <row r="3" spans="1:9" x14ac:dyDescent="0.25">
      <c r="A3" t="s">
        <v>61</v>
      </c>
    </row>
    <row r="4" spans="1:9" x14ac:dyDescent="0.25">
      <c r="A4" t="s">
        <v>62</v>
      </c>
      <c r="B4">
        <v>8</v>
      </c>
      <c r="C4">
        <v>12</v>
      </c>
      <c r="D4">
        <v>20</v>
      </c>
      <c r="E4">
        <f>ROUND((B3+4*C3+D3)/6,2)</f>
        <v>0</v>
      </c>
      <c r="F4">
        <f>ROUND((D3-B3)/6,2)</f>
        <v>0</v>
      </c>
      <c r="G4" t="str">
        <f>ROUND(E3-F3,2)&amp;" - "&amp;ROUND(E3+F3,2)</f>
        <v>0 - 0</v>
      </c>
      <c r="H4" t="str">
        <f>ROUND(E3-2*F3,2)&amp;" - "&amp;ROUND(E3+2*F3,2)</f>
        <v>0 - 0</v>
      </c>
      <c r="I4" t="str">
        <f>ROUND(E3-3*F3,2)&amp;" - "&amp;ROUND(E3+3*F3,2)</f>
        <v>0 - 0</v>
      </c>
    </row>
    <row r="5" spans="1:9" x14ac:dyDescent="0.25">
      <c r="A5" t="s">
        <v>64</v>
      </c>
      <c r="B5">
        <v>6</v>
      </c>
      <c r="C5">
        <v>10</v>
      </c>
      <c r="D5">
        <v>18</v>
      </c>
      <c r="E5">
        <f>ROUND((B4+4*C4+D4)/6,2)</f>
        <v>12.67</v>
      </c>
      <c r="F5">
        <f>ROUND((D4-B4)/6,2)</f>
        <v>2</v>
      </c>
      <c r="G5" t="str">
        <f>ROUND(E4-F4,2)&amp;" - "&amp;ROUND(E4+F4,2)</f>
        <v>0 - 0</v>
      </c>
      <c r="H5" t="str">
        <f>ROUND(E4-2*F4,2)&amp;" - "&amp;ROUND(E4+2*F4,2)</f>
        <v>0 - 0</v>
      </c>
      <c r="I5" t="str">
        <f>ROUND(E4-3*F4,2)&amp;" - "&amp;ROUND(E4+3*F4,2)</f>
        <v>0 - 0</v>
      </c>
    </row>
    <row r="6" spans="1:9" x14ac:dyDescent="0.25">
      <c r="A6" t="s">
        <v>63</v>
      </c>
    </row>
    <row r="7" spans="1:9" x14ac:dyDescent="0.25">
      <c r="A7" t="s">
        <v>65</v>
      </c>
      <c r="B7">
        <v>5</v>
      </c>
      <c r="C7">
        <v>8</v>
      </c>
      <c r="D7">
        <v>14</v>
      </c>
      <c r="E7">
        <f>ROUND((B6+4*C6+D6)/6,2)</f>
        <v>0</v>
      </c>
      <c r="F7">
        <f>ROUND((D6-B6)/6,2)</f>
        <v>0</v>
      </c>
      <c r="G7" t="str">
        <f>ROUND(E6-F6,2)&amp;" - "&amp;ROUND(E6+F6,2)</f>
        <v>0 - 0</v>
      </c>
      <c r="H7" t="str">
        <f>ROUND(E6-2*F6,2)&amp;" - "&amp;ROUND(E6+2*F6,2)</f>
        <v>0 - 0</v>
      </c>
      <c r="I7" t="str">
        <f>ROUND(E6-3*F6,2)&amp;" - "&amp;ROUND(E6+3*F6,2)</f>
        <v>0 - 0</v>
      </c>
    </row>
    <row r="8" spans="1:9" x14ac:dyDescent="0.25">
      <c r="A8" t="s">
        <v>66</v>
      </c>
      <c r="B8">
        <v>5</v>
      </c>
      <c r="C8">
        <v>8</v>
      </c>
      <c r="D8">
        <v>14</v>
      </c>
      <c r="E8">
        <f>ROUND((B7+4*C7+D7)/6,2)</f>
        <v>8.5</v>
      </c>
      <c r="F8">
        <f>ROUND((D7-B7)/6,2)</f>
        <v>1.5</v>
      </c>
      <c r="G8" t="str">
        <f>ROUND(E7-F7,2)&amp;" - "&amp;ROUND(E7+F7,2)</f>
        <v>0 - 0</v>
      </c>
      <c r="H8" t="str">
        <f>ROUND(E7-2*F7,2)&amp;" - "&amp;ROUND(E7+2*F7,2)</f>
        <v>0 - 0</v>
      </c>
      <c r="I8" t="str">
        <f>ROUND(E7-3*F7,2)&amp;" - "&amp;ROUND(E7+3*F7,2)</f>
        <v>0 - 0</v>
      </c>
    </row>
    <row r="9" spans="1:9" x14ac:dyDescent="0.25">
      <c r="A9" t="s">
        <v>67</v>
      </c>
      <c r="B9">
        <v>8</v>
      </c>
      <c r="C9">
        <v>12</v>
      </c>
      <c r="D9">
        <v>20</v>
      </c>
      <c r="E9">
        <f>ROUND((B8+4*C8+D8)/6,2)</f>
        <v>8.5</v>
      </c>
      <c r="F9">
        <f>ROUND((D8-B8)/6,2)</f>
        <v>1.5</v>
      </c>
      <c r="G9" t="str">
        <f>ROUND(E8-F8,2)&amp;" - "&amp;ROUND(E8+F8,2)</f>
        <v>7 - 10</v>
      </c>
      <c r="H9" t="str">
        <f>ROUND(E8-2*F8,2)&amp;" - "&amp;ROUND(E8+2*F8,2)</f>
        <v>5,5 - 11,5</v>
      </c>
      <c r="I9" t="str">
        <f>ROUND(E8-3*F8,2)&amp;" - "&amp;ROUND(E8+3*F8,2)</f>
        <v>4 - 13</v>
      </c>
    </row>
    <row r="10" spans="1:9" x14ac:dyDescent="0.25">
      <c r="A10" t="s">
        <v>68</v>
      </c>
    </row>
    <row r="11" spans="1:9" x14ac:dyDescent="0.25">
      <c r="A11" t="s">
        <v>69</v>
      </c>
      <c r="B11">
        <v>6</v>
      </c>
      <c r="C11">
        <v>10</v>
      </c>
      <c r="D11">
        <v>18</v>
      </c>
      <c r="E11">
        <f>ROUND((B10+4*C10+D10)/6,2)</f>
        <v>0</v>
      </c>
      <c r="F11">
        <f>ROUND((D10-B10)/6,2)</f>
        <v>0</v>
      </c>
      <c r="G11" t="str">
        <f>ROUND(E10-F10,2)&amp;" - "&amp;ROUND(E10+F10,2)</f>
        <v>0 - 0</v>
      </c>
      <c r="H11" t="str">
        <f>ROUND(E10-2*F10,2)&amp;" - "&amp;ROUND(E10+2*F10,2)</f>
        <v>0 - 0</v>
      </c>
      <c r="I11" t="str">
        <f>ROUND(E10-3*F10,2)&amp;" - "&amp;ROUND(E10+3*F10,2)</f>
        <v>0 - 0</v>
      </c>
    </row>
    <row r="12" spans="1:9" x14ac:dyDescent="0.25">
      <c r="A12" t="s">
        <v>70</v>
      </c>
      <c r="B12">
        <v>6</v>
      </c>
      <c r="C12">
        <v>10</v>
      </c>
      <c r="D12">
        <v>18</v>
      </c>
      <c r="E12">
        <f>ROUND((B11+4*C11+D11)/6,2)</f>
        <v>10.67</v>
      </c>
      <c r="F12">
        <f>ROUND((D11-B11)/6,2)</f>
        <v>2</v>
      </c>
      <c r="G12" t="str">
        <f>ROUND(E11-F11,2)&amp;" - "&amp;ROUND(E11+F11,2)</f>
        <v>0 - 0</v>
      </c>
      <c r="H12" t="str">
        <f>ROUND(E11-2*F11,2)&amp;" - "&amp;ROUND(E11+2*F11,2)</f>
        <v>0 - 0</v>
      </c>
      <c r="I12" t="str">
        <f>ROUND(E11-3*F11,2)&amp;" - "&amp;ROUND(E11+3*F11,2)</f>
        <v>0 - 0</v>
      </c>
    </row>
    <row r="14" spans="1:9" x14ac:dyDescent="0.25">
      <c r="A14" t="s">
        <v>15</v>
      </c>
    </row>
    <row r="15" spans="1:9" x14ac:dyDescent="0.25">
      <c r="A15" t="s">
        <v>71</v>
      </c>
    </row>
    <row r="16" spans="1:9" x14ac:dyDescent="0.25">
      <c r="A16" t="s">
        <v>72</v>
      </c>
      <c r="B16">
        <v>10</v>
      </c>
      <c r="C16">
        <v>15</v>
      </c>
      <c r="D16">
        <v>25</v>
      </c>
      <c r="E16">
        <f>ROUND((B14+4*C14+D14)/6,2)</f>
        <v>0</v>
      </c>
      <c r="F16">
        <f>ROUND((D14-B14)/6,2)</f>
        <v>0</v>
      </c>
      <c r="G16" t="str">
        <f>ROUND(E14-F14,2)&amp;" - "&amp;ROUND(E14+F14,2)</f>
        <v>0 - 0</v>
      </c>
      <c r="H16" t="str">
        <f>ROUND(E14-2*F14,2)&amp;" - "&amp;ROUND(E14+2*F14,2)</f>
        <v>0 - 0</v>
      </c>
      <c r="I16" t="str">
        <f>ROUND(E14-3*F14,2)&amp;" - "&amp;ROUND(E14+3*F14,2)</f>
        <v>0 - 0</v>
      </c>
    </row>
    <row r="17" spans="1:9" x14ac:dyDescent="0.25">
      <c r="A17" t="s">
        <v>73</v>
      </c>
      <c r="B17">
        <v>10</v>
      </c>
      <c r="C17">
        <v>15</v>
      </c>
      <c r="D17">
        <v>25</v>
      </c>
      <c r="E17">
        <f>ROUND((B15+4*C15+D15)/6,2)</f>
        <v>0</v>
      </c>
      <c r="F17">
        <f>ROUND((D15-B15)/6,2)</f>
        <v>0</v>
      </c>
      <c r="G17" t="str">
        <f>ROUND(E15-F15,2)&amp;" - "&amp;ROUND(E15+F15,2)</f>
        <v>0 - 0</v>
      </c>
      <c r="H17" t="str">
        <f>ROUND(E15-2*F15,2)&amp;" - "&amp;ROUND(E15+2*F15,2)</f>
        <v>0 - 0</v>
      </c>
      <c r="I17" t="str">
        <f>ROUND(E15-3*F15,2)&amp;" - "&amp;ROUND(E15+3*F15,2)</f>
        <v>0 - 0</v>
      </c>
    </row>
    <row r="18" spans="1:9" x14ac:dyDescent="0.25">
      <c r="A18" t="s">
        <v>74</v>
      </c>
      <c r="B18">
        <v>10</v>
      </c>
      <c r="C18">
        <v>15</v>
      </c>
      <c r="D18">
        <v>25</v>
      </c>
      <c r="E18">
        <f>ROUND((B16+4*C16+D16)/6,2)</f>
        <v>15.83</v>
      </c>
      <c r="F18">
        <f>ROUND((D16-B16)/6,2)</f>
        <v>2.5</v>
      </c>
      <c r="G18" t="str">
        <f>ROUND(E16-F16,2)&amp;" - "&amp;ROUND(E16+F16,2)</f>
        <v>0 - 0</v>
      </c>
      <c r="H18" t="str">
        <f>ROUND(E16-2*F16,2)&amp;" - "&amp;ROUND(E16+2*F16,2)</f>
        <v>0 - 0</v>
      </c>
      <c r="I18" t="str">
        <f>ROUND(E16-3*F16,2)&amp;" - "&amp;ROUND(E16+3*F16,2)</f>
        <v>0 - 0</v>
      </c>
    </row>
    <row r="19" spans="1:9" x14ac:dyDescent="0.25">
      <c r="A19" t="s">
        <v>75</v>
      </c>
      <c r="B19">
        <v>12</v>
      </c>
      <c r="C19">
        <v>18</v>
      </c>
      <c r="D19">
        <v>30</v>
      </c>
      <c r="E19">
        <f>ROUND((B17+4*C17+D17)/6,2)</f>
        <v>15.83</v>
      </c>
      <c r="F19">
        <f>ROUND((D17-B17)/6,2)</f>
        <v>2.5</v>
      </c>
      <c r="G19" t="str">
        <f>ROUND(E17-F17,2)&amp;" - "&amp;ROUND(E17+F17,2)</f>
        <v>0 - 0</v>
      </c>
      <c r="H19" t="str">
        <f>ROUND(E17-2*F17,2)&amp;" - "&amp;ROUND(E17+2*F17,2)</f>
        <v>0 - 0</v>
      </c>
      <c r="I19" t="str">
        <f>ROUND(E17-3*F17,2)&amp;" - "&amp;ROUND(E17+3*F17,2)</f>
        <v>0 - 0</v>
      </c>
    </row>
    <row r="20" spans="1:9" x14ac:dyDescent="0.25">
      <c r="A20" t="s">
        <v>76</v>
      </c>
      <c r="B20">
        <v>12</v>
      </c>
      <c r="C20">
        <v>18</v>
      </c>
      <c r="D20">
        <v>30</v>
      </c>
      <c r="E20">
        <f>ROUND((B18+4*C18+D18)/6,2)</f>
        <v>15.83</v>
      </c>
      <c r="F20">
        <f>ROUND((D18-B18)/6,2)</f>
        <v>2.5</v>
      </c>
      <c r="G20" t="str">
        <f>ROUND(E18-F18,2)&amp;" - "&amp;ROUND(E18+F18,2)</f>
        <v>13,33 - 18,33</v>
      </c>
      <c r="H20" t="str">
        <f>ROUND(E18-2*F18,2)&amp;" - "&amp;ROUND(E18+2*F18,2)</f>
        <v>10,83 - 20,83</v>
      </c>
      <c r="I20" t="str">
        <f>ROUND(E18-3*F18,2)&amp;" - "&amp;ROUND(E18+3*F18,2)</f>
        <v>8,33 - 23,33</v>
      </c>
    </row>
    <row r="22" spans="1:9" x14ac:dyDescent="0.25">
      <c r="A22" t="s">
        <v>59</v>
      </c>
    </row>
    <row r="23" spans="1:9" x14ac:dyDescent="0.25">
      <c r="A23" t="s">
        <v>77</v>
      </c>
      <c r="B23">
        <v>60</v>
      </c>
      <c r="C23">
        <v>90</v>
      </c>
      <c r="D23">
        <v>150</v>
      </c>
      <c r="E23">
        <f>ROUND((B19+4*C19+D19)/6,2)</f>
        <v>19</v>
      </c>
      <c r="F23">
        <f>ROUND((D19-B19)/6,2)</f>
        <v>3</v>
      </c>
      <c r="G23" t="str">
        <f>ROUND(E19-F19,2)&amp;" - "&amp;ROUND(E19+F19,2)</f>
        <v>13,33 - 18,33</v>
      </c>
      <c r="H23" t="str">
        <f>ROUND(E19-2*F19,2)&amp;" - "&amp;ROUND(E19+2*F19,2)</f>
        <v>10,83 - 20,83</v>
      </c>
      <c r="I23" t="str">
        <f>ROUND(E19-3*F19,2)&amp;" - "&amp;ROUND(E19+3*F19,2)</f>
        <v>8,33 - 23,33</v>
      </c>
    </row>
    <row r="24" spans="1:9" x14ac:dyDescent="0.25">
      <c r="A24" t="s">
        <v>78</v>
      </c>
      <c r="B24">
        <v>60</v>
      </c>
      <c r="C24">
        <v>90</v>
      </c>
      <c r="D24">
        <v>140</v>
      </c>
      <c r="E24">
        <f>ROUND((B20+4*C20+D20)/6,2)</f>
        <v>19</v>
      </c>
      <c r="F24">
        <f>ROUND((D20-B20)/6,2)</f>
        <v>3</v>
      </c>
      <c r="G24" t="str">
        <f>ROUND(E20-F20,2)&amp;" - "&amp;ROUND(E20+F20,2)</f>
        <v>13,33 - 18,33</v>
      </c>
      <c r="H24" t="str">
        <f>ROUND(E20-2*F20,2)&amp;" - "&amp;ROUND(E20+2*F20,2)</f>
        <v>10,83 - 20,83</v>
      </c>
      <c r="I24" t="str">
        <f>ROUND(E20-3*F20,2)&amp;" - "&amp;ROUND(E20+3*F20,2)</f>
        <v>8,33 - 23,33</v>
      </c>
    </row>
    <row r="25" spans="1:9" x14ac:dyDescent="0.25">
      <c r="A25" t="s">
        <v>79</v>
      </c>
      <c r="B25">
        <v>20</v>
      </c>
      <c r="C25">
        <v>30</v>
      </c>
      <c r="D25">
        <v>50</v>
      </c>
      <c r="E25">
        <f>ROUND((B21+4*C21+D21)/6,2)</f>
        <v>0</v>
      </c>
      <c r="F25">
        <f>ROUND((D21-B21)/6,2)</f>
        <v>0</v>
      </c>
      <c r="G25" t="str">
        <f>ROUND(E21-F21,2)&amp;" - "&amp;ROUND(E21+F21,2)</f>
        <v>0 - 0</v>
      </c>
      <c r="H25" t="str">
        <f>ROUND(E21-2*F21,2)&amp;" - "&amp;ROUND(E21+2*F21,2)</f>
        <v>0 - 0</v>
      </c>
      <c r="I25" t="str">
        <f>ROUND(E21-3*F21,2)&amp;" - "&amp;ROUND(E21+3*F21,2)</f>
        <v>0 - 0</v>
      </c>
    </row>
    <row r="27" spans="1:9" x14ac:dyDescent="0.25">
      <c r="A27" t="s">
        <v>39</v>
      </c>
    </row>
    <row r="28" spans="1:9" x14ac:dyDescent="0.25">
      <c r="A28" t="s">
        <v>80</v>
      </c>
      <c r="B28">
        <v>20</v>
      </c>
      <c r="C28">
        <v>30</v>
      </c>
      <c r="D28">
        <v>50</v>
      </c>
      <c r="E28">
        <f>ROUND((B23+4*C23+D23)/6,2)</f>
        <v>95</v>
      </c>
      <c r="F28">
        <f>ROUND((D23-B23)/6,2)</f>
        <v>15</v>
      </c>
      <c r="G28" t="str">
        <f>ROUND(E23-F23,2)&amp;" - "&amp;ROUND(E23+F23,2)</f>
        <v>16 - 22</v>
      </c>
      <c r="H28" t="str">
        <f>ROUND(E23-2*F23,2)&amp;" - "&amp;ROUND(E23+2*F23,2)</f>
        <v>13 - 25</v>
      </c>
      <c r="I28" t="str">
        <f>ROUND(E23-3*F23,2)&amp;" - "&amp;ROUND(E23+3*F23,2)</f>
        <v>10 - 28</v>
      </c>
    </row>
    <row r="29" spans="1:9" x14ac:dyDescent="0.25">
      <c r="A29" t="s">
        <v>81</v>
      </c>
      <c r="B29">
        <v>25</v>
      </c>
      <c r="C29">
        <v>35</v>
      </c>
      <c r="D29">
        <v>60</v>
      </c>
      <c r="E29">
        <f>ROUND((B24+4*C24+D24)/6,2)</f>
        <v>93.33</v>
      </c>
      <c r="F29">
        <f>ROUND((D24-B24)/6,2)</f>
        <v>13.33</v>
      </c>
      <c r="G29" t="str">
        <f>ROUND(E24-F24,2)&amp;" - "&amp;ROUND(E24+F24,2)</f>
        <v>16 - 22</v>
      </c>
      <c r="H29" t="str">
        <f>ROUND(E24-2*F24,2)&amp;" - "&amp;ROUND(E24+2*F24,2)</f>
        <v>13 - 25</v>
      </c>
      <c r="I29" t="str">
        <f>ROUND(E24-3*F24,2)&amp;" - "&amp;ROUND(E24+3*F24,2)</f>
        <v>10 - 28</v>
      </c>
    </row>
    <row r="30" spans="1:9" x14ac:dyDescent="0.25">
      <c r="A30" t="s">
        <v>82</v>
      </c>
      <c r="B30">
        <v>15</v>
      </c>
      <c r="C30">
        <v>25</v>
      </c>
      <c r="D30">
        <v>40</v>
      </c>
      <c r="E30">
        <f>ROUND((B25+4*C25+D25)/6,2)</f>
        <v>31.67</v>
      </c>
      <c r="F30">
        <f>ROUND((D25-B25)/6,2)</f>
        <v>5</v>
      </c>
      <c r="G30" t="str">
        <f>ROUND(E25-F25,2)&amp;" - "&amp;ROUND(E25+F25,2)</f>
        <v>0 - 0</v>
      </c>
      <c r="H30" t="str">
        <f>ROUND(E25-2*F25,2)&amp;" - "&amp;ROUND(E25+2*F25,2)</f>
        <v>0 - 0</v>
      </c>
      <c r="I30" t="str">
        <f>ROUND(E25-3*F25,2)&amp;" - "&amp;ROUND(E25+3*F25,2)</f>
        <v>0 - 0</v>
      </c>
    </row>
    <row r="32" spans="1:9" x14ac:dyDescent="0.25">
      <c r="A32" t="s">
        <v>60</v>
      </c>
    </row>
    <row r="33" spans="1:9" x14ac:dyDescent="0.25">
      <c r="A33" t="s">
        <v>83</v>
      </c>
      <c r="B33">
        <v>10</v>
      </c>
      <c r="C33">
        <v>15</v>
      </c>
      <c r="D33">
        <v>25</v>
      </c>
      <c r="E33">
        <f>ROUND((B27+4*C27+D27)/6,2)</f>
        <v>0</v>
      </c>
      <c r="F33">
        <f>ROUND((D27-B27)/6,2)</f>
        <v>0</v>
      </c>
      <c r="G33" t="str">
        <f>ROUND(E27-F27,2)&amp;" - "&amp;ROUND(E27+F27,2)</f>
        <v>0 - 0</v>
      </c>
      <c r="H33" t="str">
        <f>ROUND(E27-2*F27,2)&amp;" - "&amp;ROUND(E27+2*F27,2)</f>
        <v>0 - 0</v>
      </c>
      <c r="I33" t="str">
        <f>ROUND(E27-3*F27,2)&amp;" - "&amp;ROUND(E27+3*F27,2)</f>
        <v>0 - 0</v>
      </c>
    </row>
    <row r="34" spans="1:9" x14ac:dyDescent="0.25">
      <c r="A34" t="s">
        <v>84</v>
      </c>
      <c r="B34">
        <v>10</v>
      </c>
      <c r="C34">
        <v>15</v>
      </c>
      <c r="D34">
        <v>25</v>
      </c>
      <c r="E34">
        <f>ROUND((B28+4*C28+D28)/6,2)</f>
        <v>31.67</v>
      </c>
      <c r="F34">
        <f>ROUND((D28-B28)/6,2)</f>
        <v>5</v>
      </c>
      <c r="G34" t="str">
        <f>ROUND(E28-F28,2)&amp;" - "&amp;ROUND(E28+F28,2)</f>
        <v>80 - 110</v>
      </c>
      <c r="H34" t="str">
        <f>ROUND(E28-2*F28,2)&amp;" - "&amp;ROUND(E28+2*F28,2)</f>
        <v>65 - 125</v>
      </c>
      <c r="I34" t="str">
        <f>ROUND(E28-3*F28,2)&amp;" - "&amp;ROUND(E28+3*F28,2)</f>
        <v>50 - 140</v>
      </c>
    </row>
    <row r="35" spans="1:9" x14ac:dyDescent="0.25">
      <c r="A35" t="s">
        <v>85</v>
      </c>
      <c r="B35">
        <v>10</v>
      </c>
      <c r="C35">
        <v>15</v>
      </c>
      <c r="D35">
        <v>25</v>
      </c>
      <c r="E35">
        <f>ROUND((B29+4*C29+D29)/6,2)</f>
        <v>37.5</v>
      </c>
      <c r="F35">
        <f>ROUND((D29-B29)/6,2)</f>
        <v>5.83</v>
      </c>
      <c r="G35" t="str">
        <f>ROUND(E29-F29,2)&amp;" - "&amp;ROUND(E29+F29,2)</f>
        <v>80 - 106,66</v>
      </c>
      <c r="H35" t="str">
        <f>ROUND(E29-2*F29,2)&amp;" - "&amp;ROUND(E29+2*F29,2)</f>
        <v>66,67 - 119,99</v>
      </c>
      <c r="I35" t="str">
        <f>ROUND(E29-3*F29,2)&amp;" - "&amp;ROUND(E29+3*F29,2)</f>
        <v>53,34 - 133,32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otelib .</dc:creator>
  <cp:lastModifiedBy>otelib .</cp:lastModifiedBy>
  <dcterms:created xsi:type="dcterms:W3CDTF">2026-04-21T14:53:47Z</dcterms:created>
  <dcterms:modified xsi:type="dcterms:W3CDTF">2026-04-21T15:16:28Z</dcterms:modified>
</cp:coreProperties>
</file>